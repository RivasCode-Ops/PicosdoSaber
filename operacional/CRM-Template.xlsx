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RM Leads" sheetId="2" state="visible" r:id="rId2"/>
    <sheet xmlns:r="http://schemas.openxmlformats.org/officeDocument/2006/relationships" name="Turmas e Vagas" sheetId="3" state="visible" r:id="rId3"/>
    <sheet xmlns:r="http://schemas.openxmlformats.org/officeDocument/2006/relationships" name="Matriculas" sheetId="4" state="visible" r:id="rId4"/>
    <sheet xmlns:r="http://schemas.openxmlformats.org/officeDocument/2006/relationships" name="Lista de Espe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1B4332"/>
      <sz val="14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</cols>
  <sheetData>
    <row r="1">
      <c r="A1" s="1" t="inlineStr">
        <is>
          <t>PICOS DO SABER — CRM Template (copiar para planilha privada)</t>
        </is>
      </c>
    </row>
    <row r="3">
      <c r="A3" s="2" t="inlineStr">
        <is>
          <t>Indicador</t>
        </is>
      </c>
      <c r="B3" s="2" t="inlineStr">
        <is>
          <t>Numero</t>
        </is>
      </c>
      <c r="C3" s="2" t="inlineStr">
        <is>
          <t>Observacao</t>
        </is>
      </c>
    </row>
    <row r="4">
      <c r="A4" t="inlineStr">
        <is>
          <t>Leads recebidos</t>
        </is>
      </c>
      <c r="B4">
        <f>COUNTA('CRM Leads'!A2:A500)</f>
        <v/>
      </c>
      <c r="C4" t="inlineStr">
        <is>
          <t>Total de contatos registrados</t>
        </is>
      </c>
    </row>
    <row r="5">
      <c r="A5" t="inlineStr">
        <is>
          <t>Contatos realizados</t>
        </is>
      </c>
      <c r="B5">
        <f>COUNTIF('CRM Leads'!I2:I500,"*Contato realizado*")</f>
        <v/>
      </c>
      <c r="C5" t="inlineStr">
        <is>
          <t>Status: Contato realizado</t>
        </is>
      </c>
    </row>
    <row r="6">
      <c r="A6" t="inlineStr">
        <is>
          <t>Visitas agendadas</t>
        </is>
      </c>
      <c r="B6">
        <f>COUNTIF('CRM Leads'!I2:I500,"*Visita agendada*")</f>
        <v/>
      </c>
      <c r="C6" t="inlineStr">
        <is>
          <t>Status: Visita agendada</t>
        </is>
      </c>
    </row>
    <row r="7">
      <c r="A7" t="inlineStr">
        <is>
          <t>Avaliacoes realizadas</t>
        </is>
      </c>
      <c r="B7">
        <f>COUNTIF('CRM Leads'!I2:I500,"*Avaliacao realizada*")</f>
        <v/>
      </c>
      <c r="C7" t="inlineStr">
        <is>
          <t>Status: Avaliacao realizada</t>
        </is>
      </c>
    </row>
    <row r="8">
      <c r="A8" t="inlineStr">
        <is>
          <t>Matriculas fechadas</t>
        </is>
      </c>
      <c r="B8">
        <f>COUNTIF('CRM Leads'!I2:I500,"*Matricula realizada*")</f>
        <v/>
      </c>
      <c r="C8" t="inlineStr">
        <is>
          <t>Status: Matricula realizada</t>
        </is>
      </c>
    </row>
    <row r="9">
      <c r="A9" t="inlineStr">
        <is>
          <t>Lista de espera (CRM)</t>
        </is>
      </c>
      <c r="B9">
        <f>COUNTIF('CRM Leads'!I2:I500,"*Lista de espera*")</f>
        <v/>
      </c>
      <c r="C9" t="inlineStr">
        <is>
          <t>Leads aguardando vaga</t>
        </is>
      </c>
    </row>
    <row r="10">
      <c r="A10" t="inlineStr">
        <is>
          <t>Lista de espera (aba)</t>
        </is>
      </c>
      <c r="B10">
        <f>COUNTA('Lista de Espera'!A2:A500)</f>
        <v/>
      </c>
      <c r="C10" t="inlineStr">
        <is>
          <t>Fila oficial de espera</t>
        </is>
      </c>
    </row>
    <row r="11">
      <c r="A11" t="inlineStr">
        <is>
          <t>Vagas totais</t>
        </is>
      </c>
      <c r="B11">
        <f>SUM('Turmas e Vagas'!C2:C50)</f>
        <v/>
      </c>
      <c r="C11" t="inlineStr">
        <is>
          <t>Soma da capacidade</t>
        </is>
      </c>
    </row>
    <row r="12">
      <c r="A12" t="inlineStr">
        <is>
          <t>Vagas disponiveis</t>
        </is>
      </c>
      <c r="B12">
        <f>SUM('Turmas e Vagas'!F2:F50)</f>
        <v/>
      </c>
      <c r="C12" t="inlineStr">
        <is>
          <t>Soma das vagas livres</t>
        </is>
      </c>
    </row>
    <row r="14">
      <c r="A14" t="inlineStr">
        <is>
          <t>Atualizado em:</t>
        </is>
      </c>
      <c r="B14" s="3">
        <f>TODAY()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10" customWidth="1" min="7" max="7"/>
    <col width="14" customWidth="1" min="8" max="8"/>
    <col width="22" customWidth="1" min="9" max="9"/>
    <col width="16" customWidth="1" min="10" max="10"/>
    <col width="14" customWidth="1" min="11" max="11"/>
    <col width="28" customWidth="1" min="12" max="12"/>
  </cols>
  <sheetData>
    <row r="1">
      <c r="A1" s="2" t="inlineStr">
        <is>
          <t>Data</t>
        </is>
      </c>
      <c r="B1" s="2" t="inlineStr">
        <is>
          <t>Responsavel</t>
        </is>
      </c>
      <c r="C1" s="2" t="inlineStr">
        <is>
          <t>WhatsApp</t>
        </is>
      </c>
      <c r="D1" s="2" t="inlineStr">
        <is>
          <t>Aluno</t>
        </is>
      </c>
      <c r="E1" s="2" t="inlineStr">
        <is>
          <t>Serie</t>
        </is>
      </c>
      <c r="F1" s="2" t="inlineStr">
        <is>
          <t>Dificuldade</t>
        </is>
      </c>
      <c r="G1" s="2" t="inlineStr">
        <is>
          <t>Turno</t>
        </is>
      </c>
      <c r="H1" s="2" t="inlineStr">
        <is>
          <t>Origem</t>
        </is>
      </c>
      <c r="I1" s="2" t="inlineStr">
        <is>
          <t>Status</t>
        </is>
      </c>
      <c r="J1" s="2" t="inlineStr">
        <is>
          <t>Proxima acao</t>
        </is>
      </c>
      <c r="K1" s="2" t="inlineStr">
        <is>
          <t>Data retorno</t>
        </is>
      </c>
      <c r="L1" s="2" t="inlineStr">
        <is>
          <t>Observacoes</t>
        </is>
      </c>
    </row>
    <row r="2">
      <c r="A2" t="inlineStr">
        <is>
          <t>DD/MM/AAAA</t>
        </is>
      </c>
      <c r="B2" t="inlineStr">
        <is>
          <t>EXEMPLO — apagar antes de usar</t>
        </is>
      </c>
      <c r="C2" t="inlineStr">
        <is>
          <t>(89) 90000-0000</t>
        </is>
      </c>
      <c r="D2" t="inlineStr">
        <is>
          <t>EXEMPLO — apagar</t>
        </is>
      </c>
      <c r="E2" t="inlineStr">
        <is>
          <t>6o ano</t>
        </is>
      </c>
      <c r="F2" t="inlineStr">
        <is>
          <t>Matematica</t>
        </is>
      </c>
      <c r="G2" t="inlineStr">
        <is>
          <t>Tarde</t>
        </is>
      </c>
      <c r="H2" t="inlineStr">
        <is>
          <t>Site</t>
        </is>
      </c>
      <c r="I2" t="inlineStr">
        <is>
          <t>🟡 Interessado</t>
        </is>
      </c>
      <c r="J2" t="inlineStr">
        <is>
          <t>Proxima acao</t>
        </is>
      </c>
      <c r="K2" t="inlineStr">
        <is>
          <t>DD/MM/AAAA</t>
        </is>
      </c>
      <c r="L2" t="inlineStr">
        <is>
          <t>Linha ficticia do template</t>
        </is>
      </c>
    </row>
  </sheetData>
  <dataValidations count="3">
    <dataValidation sqref="I2:I500" showDropDown="0" showInputMessage="0" showErrorMessage="0" allowBlank="1" error="Escolha um status da lista padronizada." prompt="Status do funil comercial" type="list">
      <formula1>"🟡 Interessado,🔵 Contato realizado,🟠 Visita agendada,🟣 Avaliacao realizada,🟢 Matricula realizada,🔴 Nao interessado,⚫ Lista de espera"</formula1>
    </dataValidation>
    <dataValidation sqref="G2:G500" showDropDown="0" showInputMessage="0" showErrorMessage="0" allowBlank="1" type="list">
      <formula1>"Manha,Tarde,Noite"</formula1>
    </dataValidation>
    <dataValidation sqref="H2:H500" showDropDown="0" showInputMessage="0" showErrorMessage="0" allowBlank="1" type="list">
      <formula1>"Site,Indicacao,Redes sociais,Panfleto,WhatsApp direto,Outro"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2" t="inlineStr">
        <is>
          <t>Turma</t>
        </is>
      </c>
      <c r="B1" s="2" t="inlineStr">
        <is>
          <t>Turno</t>
        </is>
      </c>
      <c r="C1" s="2" t="inlineStr">
        <is>
          <t>Capacidade</t>
        </is>
      </c>
      <c r="D1" s="2" t="inlineStr">
        <is>
          <t>Matriculados</t>
        </is>
      </c>
      <c r="E1" s="2" t="inlineStr">
        <is>
          <t>Pre-reservas</t>
        </is>
      </c>
      <c r="F1" s="2" t="inlineStr">
        <is>
          <t>Vagas livres</t>
        </is>
      </c>
      <c r="G1" s="2" t="inlineStr">
        <is>
          <t>Situacao</t>
        </is>
      </c>
    </row>
    <row r="2">
      <c r="A2" t="inlineStr">
        <is>
          <t>6o ano</t>
        </is>
      </c>
      <c r="B2" t="inlineStr">
        <is>
          <t>Manha</t>
        </is>
      </c>
      <c r="C2" t="n">
        <v>8</v>
      </c>
      <c r="D2" t="n">
        <v>0</v>
      </c>
      <c r="E2" t="n">
        <v>0</v>
      </c>
      <c r="F2">
        <f>C2-D2-E2</f>
        <v/>
      </c>
      <c r="G2">
        <f>IF(F2&lt;=0,"Lista espera",IF(F2&lt;=2,"Quase lotada","Aberta"))</f>
        <v/>
      </c>
    </row>
    <row r="3">
      <c r="A3" t="inlineStr">
        <is>
          <t>7o ano</t>
        </is>
      </c>
      <c r="B3" t="inlineStr">
        <is>
          <t>Manha</t>
        </is>
      </c>
      <c r="C3" t="n">
        <v>8</v>
      </c>
      <c r="D3" t="n">
        <v>0</v>
      </c>
      <c r="E3" t="n">
        <v>0</v>
      </c>
      <c r="F3">
        <f>C3-D3-E3</f>
        <v/>
      </c>
      <c r="G3">
        <f>IF(F3&lt;=0,"Lista espera",IF(F3&lt;=2,"Quase lotada","Aberta"))</f>
        <v/>
      </c>
    </row>
    <row r="4">
      <c r="A4" t="inlineStr">
        <is>
          <t>4o ao 5o ano</t>
        </is>
      </c>
      <c r="B4" t="inlineStr">
        <is>
          <t>Tarde</t>
        </is>
      </c>
      <c r="C4" t="n">
        <v>8</v>
      </c>
      <c r="D4" t="n">
        <v>0</v>
      </c>
      <c r="E4" t="n">
        <v>0</v>
      </c>
      <c r="F4">
        <f>C4-D4-E4</f>
        <v/>
      </c>
      <c r="G4">
        <f>IF(F4&lt;=0,"Lista espera",IF(F4&lt;=2,"Quase lotada","Aberta"))</f>
        <v/>
      </c>
    </row>
    <row r="5">
      <c r="A5" t="inlineStr">
        <is>
          <t>8o ao 9o ano</t>
        </is>
      </c>
      <c r="B5" t="inlineStr">
        <is>
          <t>Tarde</t>
        </is>
      </c>
      <c r="C5" t="n">
        <v>8</v>
      </c>
      <c r="D5" t="n">
        <v>0</v>
      </c>
      <c r="E5" t="n">
        <v>0</v>
      </c>
      <c r="F5">
        <f>C5-D5-E5</f>
        <v/>
      </c>
      <c r="G5">
        <f>IF(F5&lt;=0,"Lista espera",IF(F5&lt;=2,"Quase lotada","Aberta"))</f>
        <v/>
      </c>
    </row>
    <row r="6">
      <c r="A6" t="inlineStr">
        <is>
          <t>Ensino Medio</t>
        </is>
      </c>
      <c r="B6" t="inlineStr">
        <is>
          <t>Noite</t>
        </is>
      </c>
      <c r="C6" t="n">
        <v>8</v>
      </c>
      <c r="D6" t="n">
        <v>0</v>
      </c>
      <c r="E6" t="n">
        <v>0</v>
      </c>
      <c r="F6">
        <f>C6-D6-E6</f>
        <v/>
      </c>
      <c r="G6">
        <f>IF(F6&lt;=0,"Lista espera",IF(F6&lt;=2,"Quase lotada","Aberta"))</f>
        <v/>
      </c>
    </row>
    <row r="7">
      <c r="A7" t="inlineStr">
        <is>
          <t>Reforco para provas</t>
        </is>
      </c>
      <c r="B7" t="inlineStr">
        <is>
          <t>Noite</t>
        </is>
      </c>
      <c r="C7" t="n">
        <v>8</v>
      </c>
      <c r="D7" t="n">
        <v>0</v>
      </c>
      <c r="E7" t="n">
        <v>0</v>
      </c>
      <c r="F7">
        <f>C7-D7-E7</f>
        <v/>
      </c>
      <c r="G7">
        <f>IF(F7&lt;=0,"Lista espera",IF(F7&lt;=2,"Quase lotada","Aberta"))</f>
        <v/>
      </c>
    </row>
    <row r="10">
      <c r="A10" s="4" t="inlineStr">
        <is>
          <t>Regra: vaga ocupada = matricula confirmada. Pre-reserva tem prazo. Turma lotada = lista de espera.</t>
        </is>
      </c>
    </row>
  </sheetData>
  <mergeCells count="1"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2" t="inlineStr">
        <is>
          <t>Aluno</t>
        </is>
      </c>
      <c r="B1" s="2" t="inlineStr">
        <is>
          <t>Responsavel</t>
        </is>
      </c>
      <c r="C1" s="2" t="inlineStr">
        <is>
          <t>Serie</t>
        </is>
      </c>
      <c r="D1" s="2" t="inlineStr">
        <is>
          <t>Turma</t>
        </is>
      </c>
      <c r="E1" s="2" t="inlineStr">
        <is>
          <t>Inicio</t>
        </is>
      </c>
      <c r="F1" s="2" t="inlineStr">
        <is>
          <t>Mensalidade</t>
        </is>
      </c>
      <c r="G1" s="2" t="inlineStr">
        <is>
          <t>Vencimento</t>
        </is>
      </c>
      <c r="H1" s="2" t="inlineStr">
        <is>
          <t>Situacao</t>
        </is>
      </c>
    </row>
    <row r="2">
      <c r="A2" t="inlineStr">
        <is>
          <t>EXEMPLO — apagar</t>
        </is>
      </c>
      <c r="B2" t="inlineStr">
        <is>
          <t>EXEMPLO — apagar</t>
        </is>
      </c>
      <c r="C2" t="inlineStr">
        <is>
          <t>6o ano</t>
        </is>
      </c>
      <c r="D2" t="inlineStr">
        <is>
          <t>6o Manha</t>
        </is>
      </c>
      <c r="E2" t="inlineStr">
        <is>
          <t>DD/MM/AAAA</t>
        </is>
      </c>
      <c r="F2" t="n">
        <v>0</v>
      </c>
      <c r="G2" t="inlineStr">
        <is>
          <t>Dia 10</t>
        </is>
      </c>
      <c r="H2" t="inlineStr">
        <is>
          <t>Ativo</t>
        </is>
      </c>
    </row>
  </sheetData>
  <dataValidations count="1">
    <dataValidation sqref="H2:H500" showDropDown="0" showInputMessage="0" showErrorMessage="0" allowBlank="1" type="list">
      <formula1>"Ativo,Inativo,Trancado"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2" customWidth="1" min="4" max="4"/>
    <col width="10" customWidth="1" min="5" max="5"/>
    <col width="18" customWidth="1" min="6" max="6"/>
    <col width="32" customWidth="1" min="7" max="7"/>
  </cols>
  <sheetData>
    <row r="1">
      <c r="A1" s="2" t="inlineStr">
        <is>
          <t>Ordem</t>
        </is>
      </c>
      <c r="B1" s="2" t="inlineStr">
        <is>
          <t>Data</t>
        </is>
      </c>
      <c r="C1" s="2" t="inlineStr">
        <is>
          <t>Aluno</t>
        </is>
      </c>
      <c r="D1" s="2" t="inlineStr">
        <is>
          <t>Serie</t>
        </is>
      </c>
      <c r="E1" s="2" t="inlineStr">
        <is>
          <t>Turno</t>
        </is>
      </c>
      <c r="F1" s="2" t="inlineStr">
        <is>
          <t>Contato</t>
        </is>
      </c>
      <c r="G1" s="2" t="inlineStr">
        <is>
          <t>Observacao</t>
        </is>
      </c>
    </row>
    <row r="2">
      <c r="A2">
        <f>IF(C2&lt;&gt;"",COUNTA($C$2:C2),"")</f>
        <v/>
      </c>
      <c r="B2" t="inlineStr">
        <is>
          <t>DD/MM/AAAA</t>
        </is>
      </c>
      <c r="C2" t="inlineStr">
        <is>
          <t>EXEMPLO — apagar</t>
        </is>
      </c>
      <c r="D2" t="inlineStr">
        <is>
          <t>7o ano</t>
        </is>
      </c>
      <c r="E2" t="inlineStr">
        <is>
          <t>Manha</t>
        </is>
      </c>
      <c r="F2" t="inlineStr">
        <is>
          <t>(89) 90000-0000</t>
        </is>
      </c>
      <c r="G2" t="inlineStr">
        <is>
          <t>Linha ficticia do template</t>
        </is>
      </c>
    </row>
    <row r="3">
      <c r="A3">
        <f>IF(C3&lt;&gt;"",COUNTA($C$2:C3),"")</f>
        <v/>
      </c>
    </row>
    <row r="4">
      <c r="A4">
        <f>IF(C4&lt;&gt;"",COUNTA($C$2:C4),"")</f>
        <v/>
      </c>
    </row>
    <row r="5">
      <c r="A5">
        <f>IF(C5&lt;&gt;"",COUNTA($C$2:C5),"")</f>
        <v/>
      </c>
    </row>
    <row r="6">
      <c r="A6">
        <f>IF(C6&lt;&gt;"",COUNTA($C$2:C6),"")</f>
        <v/>
      </c>
    </row>
    <row r="7">
      <c r="A7">
        <f>IF(C7&lt;&gt;"",COUNTA($C$2:C7),"")</f>
        <v/>
      </c>
    </row>
    <row r="8">
      <c r="A8">
        <f>IF(C8&lt;&gt;"",COUNTA($C$2:C8),"")</f>
        <v/>
      </c>
    </row>
    <row r="9">
      <c r="A9">
        <f>IF(C9&lt;&gt;"",COUNTA($C$2:C9),"")</f>
        <v/>
      </c>
    </row>
    <row r="10">
      <c r="A10">
        <f>IF(C10&lt;&gt;"",COUNTA($C$2:C10),"")</f>
        <v/>
      </c>
    </row>
    <row r="11">
      <c r="A11">
        <f>IF(C11&lt;&gt;"",COUNTA($C$2:C11),"")</f>
        <v/>
      </c>
    </row>
    <row r="12">
      <c r="A12">
        <f>IF(C12&lt;&gt;"",COUNTA($C$2:C12),"")</f>
        <v/>
      </c>
    </row>
    <row r="13">
      <c r="A13">
        <f>IF(C13&lt;&gt;"",COUNTA($C$2:C13),"")</f>
        <v/>
      </c>
    </row>
    <row r="14">
      <c r="A14">
        <f>IF(C14&lt;&gt;"",COUNTA($C$2:C14),"")</f>
        <v/>
      </c>
    </row>
    <row r="15">
      <c r="A15">
        <f>IF(C15&lt;&gt;"",COUNTA($C$2:C15),"")</f>
        <v/>
      </c>
    </row>
    <row r="16">
      <c r="A16">
        <f>IF(C16&lt;&gt;"",COUNTA($C$2:C16),"")</f>
        <v/>
      </c>
    </row>
    <row r="17">
      <c r="A17">
        <f>IF(C17&lt;&gt;"",COUNTA($C$2:C17),"")</f>
        <v/>
      </c>
    </row>
    <row r="18">
      <c r="A18">
        <f>IF(C18&lt;&gt;"",COUNTA($C$2:C18),"")</f>
        <v/>
      </c>
    </row>
    <row r="19">
      <c r="A19">
        <f>IF(C19&lt;&gt;"",COUNTA($C$2:C19),"")</f>
        <v/>
      </c>
    </row>
    <row r="20">
      <c r="A20">
        <f>IF(C20&lt;&gt;"",COUNTA($C$2:C20),"")</f>
        <v/>
      </c>
    </row>
    <row r="21">
      <c r="A21">
        <f>IF(C21&lt;&gt;"",COUNTA($C$2:C21),"")</f>
        <v/>
      </c>
    </row>
    <row r="22">
      <c r="A22">
        <f>IF(C22&lt;&gt;"",COUNTA($C$2:C22),"")</f>
        <v/>
      </c>
    </row>
    <row r="23">
      <c r="A23">
        <f>IF(C23&lt;&gt;"",COUNTA($C$2:C23),"")</f>
        <v/>
      </c>
    </row>
    <row r="24">
      <c r="A24">
        <f>IF(C24&lt;&gt;"",COUNTA($C$2:C24),"")</f>
        <v/>
      </c>
    </row>
    <row r="25">
      <c r="A25">
        <f>IF(C25&lt;&gt;"",COUNTA($C$2:C25),"")</f>
        <v/>
      </c>
    </row>
    <row r="26">
      <c r="A26">
        <f>IF(C26&lt;&gt;"",COUNTA($C$2:C26),"")</f>
        <v/>
      </c>
    </row>
    <row r="27">
      <c r="A27">
        <f>IF(C27&lt;&gt;"",COUNTA($C$2:C27),"")</f>
        <v/>
      </c>
    </row>
    <row r="28">
      <c r="A28">
        <f>IF(C28&lt;&gt;"",COUNTA($C$2:C28),"")</f>
        <v/>
      </c>
    </row>
    <row r="29">
      <c r="A29">
        <f>IF(C29&lt;&gt;"",COUNTA($C$2:C29),"")</f>
        <v/>
      </c>
    </row>
    <row r="30">
      <c r="A30">
        <f>IF(C30&lt;&gt;"",COUNTA($C$2:C30),"")</f>
        <v/>
      </c>
    </row>
    <row r="31">
      <c r="A31">
        <f>IF(C31&lt;&gt;"",COUNTA($C$2:C31),"")</f>
        <v/>
      </c>
    </row>
    <row r="32">
      <c r="A32">
        <f>IF(C32&lt;&gt;"",COUNTA($C$2:C32),"")</f>
        <v/>
      </c>
    </row>
    <row r="33">
      <c r="A33">
        <f>IF(C33&lt;&gt;"",COUNTA($C$2:C33),"")</f>
        <v/>
      </c>
    </row>
    <row r="34">
      <c r="A34">
        <f>IF(C34&lt;&gt;"",COUNTA($C$2:C34),"")</f>
        <v/>
      </c>
    </row>
    <row r="35">
      <c r="A35">
        <f>IF(C35&lt;&gt;"",COUNTA($C$2:C35),"")</f>
        <v/>
      </c>
    </row>
    <row r="36">
      <c r="A36">
        <f>IF(C36&lt;&gt;"",COUNTA($C$2:C36),"")</f>
        <v/>
      </c>
    </row>
    <row r="37">
      <c r="A37">
        <f>IF(C37&lt;&gt;"",COUNTA($C$2:C37),"")</f>
        <v/>
      </c>
    </row>
    <row r="38">
      <c r="A38">
        <f>IF(C38&lt;&gt;"",COUNTA($C$2:C38),"")</f>
        <v/>
      </c>
    </row>
    <row r="39">
      <c r="A39">
        <f>IF(C39&lt;&gt;"",COUNTA($C$2:C39),"")</f>
        <v/>
      </c>
    </row>
    <row r="40">
      <c r="A40">
        <f>IF(C40&lt;&gt;"",COUNTA($C$2:C40),"")</f>
        <v/>
      </c>
    </row>
    <row r="41">
      <c r="A41">
        <f>IF(C41&lt;&gt;"",COUNTA($C$2:C41),"")</f>
        <v/>
      </c>
    </row>
    <row r="42">
      <c r="A42">
        <f>IF(C42&lt;&gt;"",COUNTA($C$2:C42),"")</f>
        <v/>
      </c>
    </row>
    <row r="43">
      <c r="A43">
        <f>IF(C43&lt;&gt;"",COUNTA($C$2:C43),"")</f>
        <v/>
      </c>
    </row>
    <row r="44">
      <c r="A44">
        <f>IF(C44&lt;&gt;"",COUNTA($C$2:C44),"")</f>
        <v/>
      </c>
    </row>
    <row r="45">
      <c r="A45">
        <f>IF(C45&lt;&gt;"",COUNTA($C$2:C45),"")</f>
        <v/>
      </c>
    </row>
    <row r="46">
      <c r="A46">
        <f>IF(C46&lt;&gt;"",COUNTA($C$2:C46),"")</f>
        <v/>
      </c>
    </row>
    <row r="47">
      <c r="A47">
        <f>IF(C47&lt;&gt;"",COUNTA($C$2:C47),"")</f>
        <v/>
      </c>
    </row>
    <row r="48">
      <c r="A48">
        <f>IF(C48&lt;&gt;"",COUNTA($C$2:C48),"")</f>
        <v/>
      </c>
    </row>
    <row r="49">
      <c r="A49">
        <f>IF(C49&lt;&gt;"",COUNTA($C$2:C49),"")</f>
        <v/>
      </c>
    </row>
    <row r="50">
      <c r="A50">
        <f>IF(C50&lt;&gt;"",COUNTA($C$2:C50),"")</f>
        <v/>
      </c>
    </row>
    <row r="51">
      <c r="A51">
        <f>IF(C51&lt;&gt;"",COUNTA($C$2:C51),"")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2026-06-11T04:43:23Z</dcterms:created>
  <dcterms:modified xmlns:dcterms="http://purl.org/dc/terms/" xmlns:xsi="http://www.w3.org/2001/XMLSchema-instance" xsi:type="dcterms:W3CDTF">2026-06-11T04:43:23Z</dcterms:modified>
</cp:coreProperties>
</file>